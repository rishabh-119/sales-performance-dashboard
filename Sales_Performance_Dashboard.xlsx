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ef70fdd59e2d85/Desktop/Excel/"/>
    </mc:Choice>
  </mc:AlternateContent>
  <xr:revisionPtr revIDLastSave="1" documentId="8_{67E2A9DE-BCF4-4CB7-BE1D-14A8F998F437}" xr6:coauthVersionLast="47" xr6:coauthVersionMax="47" xr10:uidLastSave="{49465E08-CB59-4B05-B28B-0C09D288279A}"/>
  <bookViews>
    <workbookView xWindow="-108" yWindow="-108" windowWidth="23256" windowHeight="12456" activeTab="2" xr2:uid="{F2161C0B-2491-4645-8928-A09563FAA64B}"/>
  </bookViews>
  <sheets>
    <sheet name="Sales_Data" sheetId="1" r:id="rId1"/>
    <sheet name="Calculations" sheetId="2" r:id="rId2"/>
    <sheet name="Sales_Dashboard" sheetId="3" r:id="rId3"/>
  </sheets>
  <calcPr calcId="191029" calcMode="autoNoTable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N4" i="2"/>
  <c r="N5" i="2"/>
  <c r="J22" i="1"/>
  <c r="J2" i="1"/>
  <c r="B4" i="2" s="1"/>
  <c r="N2" i="2"/>
  <c r="K3" i="2"/>
  <c r="K4" i="2"/>
  <c r="K2" i="2"/>
  <c r="H3" i="2"/>
  <c r="H2" i="2"/>
  <c r="E3" i="2"/>
  <c r="E4" i="2"/>
  <c r="E2" i="2"/>
  <c r="B5" i="2"/>
  <c r="G4" i="3" s="1"/>
  <c r="B6" i="2"/>
  <c r="I4" i="3" s="1"/>
  <c r="B3" i="2"/>
  <c r="C4" i="3" s="1"/>
  <c r="B2" i="2"/>
  <c r="A4" i="3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B7" i="2" l="1"/>
  <c r="E4" i="3"/>
</calcChain>
</file>

<file path=xl/sharedStrings.xml><?xml version="1.0" encoding="utf-8"?>
<sst xmlns="http://schemas.openxmlformats.org/spreadsheetml/2006/main" count="149" uniqueCount="67">
  <si>
    <t>ORD001</t>
  </si>
  <si>
    <t>Laptop</t>
  </si>
  <si>
    <t>ORD002</t>
  </si>
  <si>
    <t>ORD003</t>
  </si>
  <si>
    <t>Mobile</t>
  </si>
  <si>
    <t>ORD004</t>
  </si>
  <si>
    <t>Keyboard</t>
  </si>
  <si>
    <t>ORD005</t>
  </si>
  <si>
    <t>Monitor</t>
  </si>
  <si>
    <t>ORD006</t>
  </si>
  <si>
    <t>Printer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</si>
  <si>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</si>
  <si>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</si>
  <si>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</si>
  <si>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</si>
  <si>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</si>
  <si>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</si>
  <si>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</si>
  <si>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</si>
  <si>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</si>
  <si>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</si>
  <si>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</si>
  <si>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</si>
  <si>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</si>
  <si>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</si>
  <si>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ORDER ID</t>
  </si>
  <si>
    <t>DATE</t>
  </si>
  <si>
    <t>PRODUCT</t>
  </si>
  <si>
    <t>CATEGORY</t>
  </si>
  <si>
    <t>REGION</t>
  </si>
  <si>
    <t>SALESPERSON</t>
  </si>
  <si>
    <t>QUANTITY</t>
  </si>
  <si>
    <t>SALES</t>
  </si>
  <si>
    <t>COST</t>
  </si>
  <si>
    <t>PROFIT</t>
  </si>
  <si>
    <t xml:space="preserve">Mouse </t>
  </si>
  <si>
    <t>Electronics</t>
  </si>
  <si>
    <t>Accessories</t>
  </si>
  <si>
    <t>Bhopal</t>
  </si>
  <si>
    <t>indore</t>
  </si>
  <si>
    <t>Indore</t>
  </si>
  <si>
    <t>Nagpur</t>
  </si>
  <si>
    <t>Rahul</t>
  </si>
  <si>
    <t>Amit</t>
  </si>
  <si>
    <t>Neha</t>
  </si>
  <si>
    <t>Priya</t>
  </si>
  <si>
    <t>KPI</t>
  </si>
  <si>
    <t>Formula</t>
  </si>
  <si>
    <t>Total Sales</t>
  </si>
  <si>
    <t>Total Cost</t>
  </si>
  <si>
    <t>Total Profit</t>
  </si>
  <si>
    <t>Total Quantity</t>
  </si>
  <si>
    <t>Total Order</t>
  </si>
  <si>
    <t>Profit Margin</t>
  </si>
  <si>
    <t>Month</t>
  </si>
  <si>
    <t>Sales</t>
  </si>
  <si>
    <t>January</t>
  </si>
  <si>
    <t>February</t>
  </si>
  <si>
    <t>March</t>
  </si>
  <si>
    <t>Category</t>
  </si>
  <si>
    <t>Region</t>
  </si>
  <si>
    <t>Salesperson</t>
  </si>
  <si>
    <t>nagpur</t>
  </si>
  <si>
    <t xml:space="preserve">Amit </t>
  </si>
  <si>
    <t>Total Orders</t>
  </si>
  <si>
    <t>SALES PERFORMANCE DASHBOARD</t>
  </si>
  <si>
    <t>ORD021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</si>
</sst>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u val="double"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double"/>
      <sz val="20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2" borderId="0" xfId="0" applyFont="1" applyFill="1"/>
    <xf numFmtId="0" fontId="5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6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Calculations!$E$1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Calculations!$D$2:$D$4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Calculations!$E$2:$E$4</c:f>
              <c:numCache>
                <c:formatCode>General</c:formatCode>
                <c:ptCount val="3"/>
                <c:pt idx="0">
                  <c:v>317000</c:v>
                </c:pt>
                <c:pt idx="1">
                  <c:v>334000</c:v>
                </c:pt>
                <c:pt idx="2">
                  <c:v>382500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3-451B-8B94-C7A9C45D3B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09317392"/>
        <c:axId val="609090304"/>
      </c:lineChart>
      <c:catAx>
        <c:axId val="60931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090304"/>
        <c:crosses val="autoZero"/>
        <c:auto val="1"/>
        <c:lblAlgn val="ctr"/>
        <c:lblOffset val="100"/>
        <c:noMultiLvlLbl val="0"/>
      </c:catAx>
      <c:valAx>
        <c:axId val="60909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1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Sales</a:t>
            </a:r>
          </a:p>
        </c:rich>
      </c:tx>
      <c:layout>
        <c:manualLayout>
          <c:xMode val="edge"/>
          <c:yMode val="edge"/>
          <c:x val="0.3794512248468941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Calculations!$H$1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Calculations!$G$2:$G$3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Calculations!$H$2:$H$3</c:f>
              <c:numCache>
                <c:formatCode>General</c:formatCode>
                <c:ptCount val="2"/>
                <c:pt idx="0">
                  <c:v>903000</c:v>
                </c:pt>
                <c:pt idx="1">
                  <c:v>250500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B-4F2B-89DB-CC1D1CE21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78048744"/>
        <c:axId val="1078049104"/>
        <c:axId val="1077461016"/>
      </c:bar3DChart>
      <c:catAx>
        <c:axId val="107804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49104"/>
        <c:crosses val="autoZero"/>
        <c:auto val="1"/>
        <c:lblAlgn val="ctr"/>
        <c:lblOffset val="100"/>
        <c:noMultiLvlLbl val="0"/>
      </c:catAx>
      <c:valAx>
        <c:axId val="107804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48744"/>
        <c:crosses val="autoZero"/>
        <c:crossBetween val="between"/>
      </c:valAx>
      <c:serAx>
        <c:axId val="1077461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4910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Calculations!$K$1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Calculations!$J$2:$J$4</c:f>
              <c:strCache>
                <c:ptCount val="3"/>
                <c:pt idx="0">
                  <c:v>Bhopal</c:v>
                </c:pt>
                <c:pt idx="1">
                  <c:v>indore</c:v>
                </c:pt>
                <c:pt idx="2">
                  <c:v>nagpur</c:v>
                </c:pt>
              </c:strCache>
            </c:strRef>
          </c:cat>
          <c:val>
            <c:numRef>
              <c:f>Calculations!$K$2:$K$4</c:f>
              <c:numCache>
                <c:formatCode>General</c:formatCode>
                <c:ptCount val="3"/>
                <c:pt idx="0">
                  <c:v>528000</c:v>
                </c:pt>
                <c:pt idx="1">
                  <c:v>312500</c:v>
                </c:pt>
                <c:pt idx="2">
                  <c:v>313000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0-413A-9E88-D6CAE280F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68969792"/>
        <c:axId val="1078050184"/>
        <c:axId val="0"/>
      </c:bar3DChart>
      <c:catAx>
        <c:axId val="56896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50184"/>
        <c:crosses val="autoZero"/>
        <c:auto val="1"/>
        <c:lblAlgn val="ctr"/>
        <c:lblOffset val="100"/>
        <c:noMultiLvlLbl val="0"/>
      </c:catAx>
      <c:valAx>
        <c:axId val="107805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6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SALES BY SALESPERSON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Calculations!$N$1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Calculations!$M$2:$M$5</c:f>
              <c:strCache>
                <c:ptCount val="4"/>
                <c:pt idx="0">
                  <c:v>Rahul</c:v>
                </c:pt>
                <c:pt idx="1">
                  <c:v>Amit </c:v>
                </c:pt>
                <c:pt idx="2">
                  <c:v>Priya</c:v>
                </c:pt>
                <c:pt idx="3">
                  <c:v>Neha</c:v>
                </c:pt>
              </c:strCache>
            </c:strRef>
          </c:cat>
          <c:val>
            <c:numRef>
              <c:f>Calculations!$N$2:$N$5</c:f>
              <c:numCache>
                <c:formatCode>General</c:formatCode>
                <c:ptCount val="4"/>
                <c:pt idx="0">
                  <c:v>319500</c:v>
                </c:pt>
                <c:pt idx="1">
                  <c:v>0</c:v>
                </c:pt>
                <c:pt idx="2">
                  <c:v>222000</c:v>
                </c:pt>
                <c:pt idx="3">
                  <c:v>318000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3-477F-A03B-380AED928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105424"/>
        <c:axId val="1154102904"/>
      </c:barChart>
      <c:catAx>
        <c:axId val="115410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02904"/>
        <c:crosses val="autoZero"/>
        <c:auto val="1"/>
        <c:lblAlgn val="ctr"/>
        <c:lblOffset val="100"/>
        <c:noMultiLvlLbl val="0"/>
      </c:catAx>
      <c:valAx>
        <c:axId val="115410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0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102870</xdr:rowOff>
    </xdr:from>
    <xdr:to>
      <xdr:col>6</xdr:col>
      <xdr:colOff>236220</xdr:colOff>
      <xdr:row>19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F58C7-8562-22BD-AF6D-87B8D0478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266700</xdr:colOff>
      <xdr:row>4</xdr:row>
      <xdr:rowOff>118110</xdr:rowOff>
    </xdr:from>
    <xdr:to>
      <xdr:col>12</xdr:col>
      <xdr:colOff>304800</xdr:colOff>
      <xdr:row>19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45A4C6-F4DD-6721-1A50-AB59E7571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373380</xdr:colOff>
      <xdr:row>4</xdr:row>
      <xdr:rowOff>110490</xdr:rowOff>
    </xdr:from>
    <xdr:to>
      <xdr:col>20</xdr:col>
      <xdr:colOff>68580</xdr:colOff>
      <xdr:row>19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D0C615-DF83-2A00-E3A3-C00D8CEA5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64770</xdr:rowOff>
    </xdr:from>
    <xdr:to>
      <xdr:col>6</xdr:col>
      <xdr:colOff>236220</xdr:colOff>
      <xdr:row>35</xdr:row>
      <xdr:rowOff>64770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406686A-08E2-E6DC-869B-0E497ADD9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8160-AD5C-444E-A4D7-E1555A406494}">
  <dimension ref="A1:J22"/>
  <sheetViews>
    <sheetView workbookViewId="0">
      <selection activeCell="I23" sqref="I23"/>
    </sheetView>
  </sheetViews>
  <sheetFormatPr defaultRowHeight="14.4" x14ac:dyDescent="0.3"/>
  <cols>
    <col min="1" max="1" width="11.44140625" bestFit="1" customWidth="1"/>
    <col min="2" max="2" width="9.6640625" bestFit="1" customWidth="1"/>
    <col min="3" max="3" width="11.44140625" bestFit="1" customWidth="1"/>
    <col min="4" max="4" width="12.5546875" bestFit="1" customWidth="1"/>
    <col min="5" max="5" width="9.44140625" bestFit="1" customWidth="1"/>
    <col min="6" max="6" width="16.109375" bestFit="1" customWidth="1"/>
    <col min="7" max="7" width="12.109375" bestFit="1" customWidth="1"/>
    <col min="8" max="8" width="7.33203125" bestFit="1" customWidth="1"/>
    <col min="9" max="9" width="7" bestFit="1" customWidth="1"/>
    <col min="12" max="12" width="10.44140625" customWidth="1"/>
  </cols>
  <sheetData>
    <row r="1" spans="1:10" ht="18" x14ac:dyDescent="0.3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 x14ac:dyDescent="0.3">
      <c r="A2" t="s">
        <v>0</v>
      </c>
      <c r="B2" s="1">
        <v>46023</v>
      </c>
      <c r="C2" t="s">
        <v>1</v>
      </c>
      <c r="D2" t="s">
        <v>36</v>
      </c>
      <c r="E2" t="s">
        <v>38</v>
      </c>
      <c r="F2" t="s">
        <v>42</v>
      </c>
      <c r="G2">
        <v>2</v>
      </c>
      <c r="H2">
        <v>90000</v>
      </c>
      <c r="I2">
        <v>75000</v>
      </c>
      <c r="J2">
        <f>H2-I2</f>
        <v>15000</v>
      </c>
    </row>
    <row r="3" spans="1:10" x14ac:dyDescent="0.3">
      <c r="A3" t="s">
        <v>2</v>
      </c>
      <c r="B3" s="1">
        <v>46025</v>
      </c>
      <c r="C3" t="s">
        <v>35</v>
      </c>
      <c r="D3" t="s">
        <v>37</v>
      </c>
      <c r="E3" t="s">
        <v>40</v>
      </c>
      <c r="F3" t="s">
        <v>43</v>
      </c>
      <c r="G3">
        <v>10</v>
      </c>
      <c r="H3">
        <v>8000</v>
      </c>
      <c r="I3">
        <v>5500</v>
      </c>
      <c r="J3">
        <f t="shared" ref="J3:J22" si="0">H3-I3</f>
        <v>2500</v>
      </c>
    </row>
    <row r="4" spans="1:10" x14ac:dyDescent="0.3">
      <c r="A4" t="s">
        <v>3</v>
      </c>
      <c r="B4" s="1">
        <v>46027</v>
      </c>
      <c r="C4" t="s">
        <v>4</v>
      </c>
      <c r="D4" t="s">
        <v>36</v>
      </c>
      <c r="E4" t="s">
        <v>38</v>
      </c>
      <c r="F4" t="s">
        <v>44</v>
      </c>
      <c r="G4">
        <v>5</v>
      </c>
      <c r="H4">
        <v>75000</v>
      </c>
      <c r="I4">
        <v>62000</v>
      </c>
      <c r="J4">
        <f t="shared" si="0"/>
        <v>13000</v>
      </c>
    </row>
    <row r="5" spans="1:10" x14ac:dyDescent="0.3">
      <c r="A5" t="s">
        <v>5</v>
      </c>
      <c r="B5" s="1">
        <v>46030</v>
      </c>
      <c r="C5" t="s">
        <v>6</v>
      </c>
      <c r="D5" t="s">
        <v>37</v>
      </c>
      <c r="E5" t="s">
        <v>41</v>
      </c>
      <c r="F5" t="s">
        <v>42</v>
      </c>
      <c r="G5">
        <v>8</v>
      </c>
      <c r="H5">
        <v>12000</v>
      </c>
      <c r="I5">
        <v>8000</v>
      </c>
      <c r="J5">
        <f t="shared" si="0"/>
        <v>4000</v>
      </c>
    </row>
    <row r="6" spans="1:10" x14ac:dyDescent="0.3">
      <c r="A6" t="s">
        <v>7</v>
      </c>
      <c r="B6" s="1">
        <v>46034</v>
      </c>
      <c r="C6" t="s">
        <v>8</v>
      </c>
      <c r="D6" t="s">
        <v>36</v>
      </c>
      <c r="E6" t="s">
        <v>40</v>
      </c>
      <c r="F6" t="s">
        <v>45</v>
      </c>
      <c r="G6">
        <v>3</v>
      </c>
      <c r="H6">
        <v>45000</v>
      </c>
      <c r="I6">
        <v>35000</v>
      </c>
      <c r="J6">
        <f t="shared" si="0"/>
        <v>10000</v>
      </c>
    </row>
    <row r="7" spans="1:10" x14ac:dyDescent="0.3">
      <c r="A7" t="s">
        <v>9</v>
      </c>
      <c r="B7" s="1">
        <v>46037</v>
      </c>
      <c r="C7" t="s">
        <v>10</v>
      </c>
      <c r="D7" t="s">
        <v>36</v>
      </c>
      <c r="E7" t="s">
        <v>38</v>
      </c>
      <c r="F7" t="s">
        <v>43</v>
      </c>
      <c r="G7">
        <v>2</v>
      </c>
      <c r="H7">
        <v>30000</v>
      </c>
      <c r="I7">
        <v>24000</v>
      </c>
      <c r="J7">
        <f t="shared" si="0"/>
        <v>6000</v>
      </c>
    </row>
    <row r="8" spans="1:10" x14ac:dyDescent="0.3">
      <c r="A8" t="s">
        <v>11</v>
      </c>
      <c r="B8" s="1">
        <v>46042</v>
      </c>
      <c r="C8" t="s">
        <v>1</v>
      </c>
      <c r="D8" t="s">
        <v>36</v>
      </c>
      <c r="E8" t="s">
        <v>41</v>
      </c>
      <c r="F8" t="s">
        <v>44</v>
      </c>
      <c r="G8">
        <v>1</v>
      </c>
      <c r="H8">
        <v>45000</v>
      </c>
      <c r="I8">
        <v>37500</v>
      </c>
      <c r="J8">
        <f t="shared" si="0"/>
        <v>7500</v>
      </c>
    </row>
    <row r="9" spans="1:10" x14ac:dyDescent="0.3">
      <c r="A9" t="s">
        <v>12</v>
      </c>
      <c r="B9" s="1">
        <v>46047</v>
      </c>
      <c r="C9" t="s">
        <v>35</v>
      </c>
      <c r="D9" t="s">
        <v>37</v>
      </c>
      <c r="E9" t="s">
        <v>40</v>
      </c>
      <c r="F9" t="s">
        <v>45</v>
      </c>
      <c r="G9">
        <v>15</v>
      </c>
      <c r="H9">
        <v>12000</v>
      </c>
      <c r="I9">
        <v>8250</v>
      </c>
      <c r="J9">
        <f t="shared" si="0"/>
        <v>3750</v>
      </c>
    </row>
    <row r="10" spans="1:10" x14ac:dyDescent="0.3">
      <c r="A10" t="s">
        <v>13</v>
      </c>
      <c r="B10" s="1">
        <v>46055</v>
      </c>
      <c r="C10" t="s">
        <v>4</v>
      </c>
      <c r="D10" t="s">
        <v>36</v>
      </c>
      <c r="E10" t="s">
        <v>38</v>
      </c>
      <c r="F10" t="s">
        <v>42</v>
      </c>
      <c r="G10">
        <v>4</v>
      </c>
      <c r="H10">
        <v>60000</v>
      </c>
      <c r="I10">
        <v>50000</v>
      </c>
      <c r="J10">
        <f t="shared" si="0"/>
        <v>10000</v>
      </c>
    </row>
    <row r="11" spans="1:10" x14ac:dyDescent="0.3">
      <c r="A11" t="s">
        <v>14</v>
      </c>
      <c r="B11" s="1">
        <v>46058</v>
      </c>
      <c r="C11" t="s">
        <v>6</v>
      </c>
      <c r="D11" t="s">
        <v>37</v>
      </c>
      <c r="E11" t="s">
        <v>41</v>
      </c>
      <c r="F11" t="s">
        <v>43</v>
      </c>
      <c r="G11">
        <v>4</v>
      </c>
      <c r="H11">
        <v>60000</v>
      </c>
      <c r="I11">
        <v>46000</v>
      </c>
      <c r="J11">
        <f t="shared" si="0"/>
        <v>14000</v>
      </c>
    </row>
    <row r="12" spans="1:10" x14ac:dyDescent="0.3">
      <c r="A12" t="s">
        <v>15</v>
      </c>
      <c r="B12" s="1">
        <v>46063</v>
      </c>
      <c r="C12" t="s">
        <v>8</v>
      </c>
      <c r="D12" t="s">
        <v>36</v>
      </c>
      <c r="E12" t="s">
        <v>38</v>
      </c>
      <c r="F12" t="s">
        <v>44</v>
      </c>
      <c r="G12">
        <v>12</v>
      </c>
      <c r="H12">
        <v>18000</v>
      </c>
      <c r="I12">
        <v>12000</v>
      </c>
      <c r="J12">
        <f t="shared" si="0"/>
        <v>6000</v>
      </c>
    </row>
    <row r="13" spans="1:10" x14ac:dyDescent="0.3">
      <c r="A13" t="s">
        <v>16</v>
      </c>
      <c r="B13" s="1">
        <v>46067</v>
      </c>
      <c r="C13" t="s">
        <v>10</v>
      </c>
      <c r="D13" t="s">
        <v>36</v>
      </c>
      <c r="E13" t="s">
        <v>40</v>
      </c>
      <c r="F13" t="s">
        <v>45</v>
      </c>
      <c r="G13">
        <v>3</v>
      </c>
      <c r="H13">
        <v>45000</v>
      </c>
      <c r="I13">
        <v>36000</v>
      </c>
      <c r="J13">
        <f t="shared" si="0"/>
        <v>9000</v>
      </c>
    </row>
    <row r="14" spans="1:10" x14ac:dyDescent="0.3">
      <c r="A14" t="s">
        <v>17</v>
      </c>
      <c r="B14" s="1">
        <v>46071</v>
      </c>
      <c r="C14" t="s">
        <v>1</v>
      </c>
      <c r="D14" t="s">
        <v>36</v>
      </c>
      <c r="E14" t="s">
        <v>38</v>
      </c>
      <c r="F14" t="s">
        <v>42</v>
      </c>
      <c r="G14">
        <v>3</v>
      </c>
      <c r="H14">
        <v>135000</v>
      </c>
      <c r="I14">
        <v>112500</v>
      </c>
      <c r="J14">
        <f t="shared" si="0"/>
        <v>22500</v>
      </c>
    </row>
    <row r="15" spans="1:10" x14ac:dyDescent="0.3">
      <c r="A15" t="s">
        <v>18</v>
      </c>
      <c r="B15" s="1">
        <v>46075</v>
      </c>
      <c r="C15" t="s">
        <v>35</v>
      </c>
      <c r="D15" t="s">
        <v>37</v>
      </c>
      <c r="E15" t="s">
        <v>41</v>
      </c>
      <c r="F15" t="s">
        <v>43</v>
      </c>
      <c r="G15">
        <v>20</v>
      </c>
      <c r="H15">
        <v>16000</v>
      </c>
      <c r="I15">
        <v>11000</v>
      </c>
      <c r="J15">
        <f t="shared" si="0"/>
        <v>5000</v>
      </c>
    </row>
    <row r="16" spans="1:10" x14ac:dyDescent="0.3">
      <c r="A16" t="s">
        <v>19</v>
      </c>
      <c r="B16" s="1">
        <v>46082</v>
      </c>
      <c r="C16" t="s">
        <v>4</v>
      </c>
      <c r="D16" t="s">
        <v>36</v>
      </c>
      <c r="E16" t="s">
        <v>40</v>
      </c>
      <c r="F16" t="s">
        <v>44</v>
      </c>
      <c r="G16">
        <v>6</v>
      </c>
      <c r="H16">
        <v>90000</v>
      </c>
      <c r="I16">
        <v>75000</v>
      </c>
      <c r="J16">
        <f t="shared" si="0"/>
        <v>15000</v>
      </c>
    </row>
    <row r="17" spans="1:10" x14ac:dyDescent="0.3">
      <c r="A17" t="s">
        <v>20</v>
      </c>
      <c r="B17" s="1">
        <v>46086</v>
      </c>
      <c r="C17" t="s">
        <v>8</v>
      </c>
      <c r="D17" t="s">
        <v>36</v>
      </c>
      <c r="E17" t="s">
        <v>38</v>
      </c>
      <c r="F17" t="s">
        <v>45</v>
      </c>
      <c r="G17">
        <v>5</v>
      </c>
      <c r="H17">
        <v>75000</v>
      </c>
      <c r="I17">
        <v>57500</v>
      </c>
      <c r="J17">
        <f t="shared" si="0"/>
        <v>17500</v>
      </c>
    </row>
    <row r="18" spans="1:10" x14ac:dyDescent="0.3">
      <c r="A18" t="s">
        <v>21</v>
      </c>
      <c r="B18" s="1">
        <v>46091</v>
      </c>
      <c r="C18" t="s">
        <v>6</v>
      </c>
      <c r="D18" t="s">
        <v>37</v>
      </c>
      <c r="E18" t="s">
        <v>40</v>
      </c>
      <c r="F18" t="s">
        <v>42</v>
      </c>
      <c r="G18">
        <v>15</v>
      </c>
      <c r="H18">
        <v>22500</v>
      </c>
      <c r="I18">
        <v>15000</v>
      </c>
      <c r="J18">
        <f t="shared" si="0"/>
        <v>7500</v>
      </c>
    </row>
    <row r="19" spans="1:10" x14ac:dyDescent="0.3">
      <c r="A19" t="s">
        <v>22</v>
      </c>
      <c r="B19" s="1">
        <v>46096</v>
      </c>
      <c r="C19" t="s">
        <v>10</v>
      </c>
      <c r="D19" t="s">
        <v>36</v>
      </c>
      <c r="E19" t="s">
        <v>41</v>
      </c>
      <c r="F19" t="s">
        <v>43</v>
      </c>
      <c r="G19">
        <v>4</v>
      </c>
      <c r="H19">
        <v>60000</v>
      </c>
      <c r="I19">
        <v>48000</v>
      </c>
      <c r="J19">
        <f t="shared" si="0"/>
        <v>12000</v>
      </c>
    </row>
    <row r="20" spans="1:10" x14ac:dyDescent="0.3">
      <c r="A20" t="s">
        <v>23</v>
      </c>
      <c r="B20" s="1">
        <v>46101</v>
      </c>
      <c r="C20" t="s">
        <v>1</v>
      </c>
      <c r="D20" t="s">
        <v>36</v>
      </c>
      <c r="E20" t="s">
        <v>40</v>
      </c>
      <c r="F20" t="s">
        <v>44</v>
      </c>
      <c r="G20">
        <v>2</v>
      </c>
      <c r="H20">
        <v>90000</v>
      </c>
      <c r="I20">
        <v>75000</v>
      </c>
      <c r="J20">
        <f t="shared" si="0"/>
        <v>15000</v>
      </c>
    </row>
    <row r="21" spans="1:10" x14ac:dyDescent="0.3">
      <c r="A21" t="s">
        <v>24</v>
      </c>
      <c r="B21" s="1">
        <v>46106</v>
      </c>
      <c r="C21" t="s">
        <v>4</v>
      </c>
      <c r="D21" t="s">
        <v>36</v>
      </c>
      <c r="E21" t="s">
        <v>38</v>
      </c>
      <c r="F21" t="s">
        <v>45</v>
      </c>
      <c r="G21">
        <v>3</v>
      </c>
      <c r="H21">
        <v>45000</v>
      </c>
      <c r="I21">
        <v>37500</v>
      </c>
      <c r="J21">
        <f t="shared" si="0"/>
        <v>7500</v>
      </c>
    </row>
    <row r="22" spans="1:10" x14ac:dyDescent="0.3">
      <c r="A22" t="s">
        <v>66</v>
      </c>
      <c r="B22" s="1">
        <v>46111</v>
      </c>
      <c r="C22" t="s">
        <v>6</v>
      </c>
      <c r="D22" t="s">
        <v>37</v>
      </c>
      <c r="E22" t="s">
        <v>41</v>
      </c>
      <c r="F22" t="s">
        <v>43</v>
      </c>
      <c r="G22">
        <v>20</v>
      </c>
      <c r="H22">
        <v>120000</v>
      </c>
      <c r="I22">
        <v>85200</v>
      </c>
      <c r="J22">
        <f t="shared" si="0"/>
        <v>34800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0F7F-2665-43EF-B7F9-FAC93FAFDF75}">
  <dimension ref="A1:O7"/>
  <sheetViews>
    <sheetView topLeftCell="B1" workbookViewId="0">
      <selection activeCell="N6" sqref="N6"/>
    </sheetView>
  </sheetViews>
  <sheetFormatPr defaultRowHeight="14.4" x14ac:dyDescent="0.3"/>
  <cols>
    <col min="1" max="1" width="12.44140625" customWidth="1"/>
    <col min="2" max="2" width="10.33203125" customWidth="1"/>
    <col min="7" max="7" width="10.33203125" customWidth="1"/>
    <col min="13" max="13" width="14" customWidth="1"/>
  </cols>
  <sheetData>
    <row r="1" spans="1:15" s="3" customFormat="1" ht="18" x14ac:dyDescent="0.35">
      <c r="A1" s="3" t="s">
        <v>46</v>
      </c>
      <c r="B1" s="3" t="s">
        <v>47</v>
      </c>
      <c r="D1" s="3" t="s">
        <v>54</v>
      </c>
      <c r="E1" s="3" t="s">
        <v>55</v>
      </c>
      <c r="G1" s="3" t="s">
        <v>59</v>
      </c>
      <c r="H1" s="3" t="s">
        <v>55</v>
      </c>
      <c r="J1" s="3" t="s">
        <v>60</v>
      </c>
      <c r="K1" s="3" t="s">
        <v>55</v>
      </c>
      <c r="M1" s="3" t="s">
        <v>61</v>
      </c>
      <c r="N1" s="3" t="s">
        <v>55</v>
      </c>
    </row>
    <row r="2" spans="1:15" ht="18" x14ac:dyDescent="0.35">
      <c r="A2" t="s">
        <v>48</v>
      </c>
      <c r="B2">
        <f>SUM(Sales_Data!H:H)</f>
        <v>1153500</v>
      </c>
      <c r="D2" t="s">
        <v>56</v>
      </c>
      <c r="E2">
        <f>SUMPRODUCT((MONTH(Sales_Data!$B$2:$B$21)=MONTH(DATEVALUE(D2&amp;" 1")))*Sales_Data!$H$2:$H$21)</f>
        <v>317000</v>
      </c>
      <c r="G2" t="s">
        <v>36</v>
      </c>
      <c r="H2">
        <f>SUMIF(Sales_Data!$D:$D,G2,Sales_Data!$H:$H)</f>
        <v>903000</v>
      </c>
      <c r="J2" t="s">
        <v>38</v>
      </c>
      <c r="K2">
        <f>SUMIF(Sales_Data!$E:$E,J2,Sales_Data!$H:$H)</f>
        <v>528000</v>
      </c>
      <c r="M2" t="s">
        <v>42</v>
      </c>
      <c r="N2">
        <f>SUMIF(Sales_Data!$F:$F,M2,Sales_Data!$H:$H)</f>
        <v>319500</v>
      </c>
      <c r="O2" s="3"/>
    </row>
    <row r="3" spans="1:15" x14ac:dyDescent="0.3">
      <c r="A3" t="s">
        <v>49</v>
      </c>
      <c r="B3">
        <f>SUM(Sales_Data!I:I)</f>
        <v>915950</v>
      </c>
      <c r="D3" t="s">
        <v>57</v>
      </c>
      <c r="E3">
        <f>SUMPRODUCT((MONTH(Sales_Data!$B$2:$B$21)=MONTH(DATEVALUE(D3&amp;" 1")))*Sales_Data!$H$2:$H$21)</f>
        <v>334000</v>
      </c>
      <c r="G3" t="s">
        <v>37</v>
      </c>
      <c r="H3">
        <f>SUMIF(Sales_Data!$D:$D,G3,Sales_Data!$H:$H)</f>
        <v>250500</v>
      </c>
      <c r="J3" t="s">
        <v>39</v>
      </c>
      <c r="K3">
        <f>SUMIF(Sales_Data!$E:$E,J3,Sales_Data!$H:$H)</f>
        <v>312500</v>
      </c>
      <c r="M3" t="s">
        <v>63</v>
      </c>
      <c r="N3">
        <f>SUMIF(Sales_Data!$F:$F,M3,Sales_Data!$H:$H)</f>
        <v>0</v>
      </c>
    </row>
    <row r="4" spans="1:15" x14ac:dyDescent="0.3">
      <c r="A4" t="s">
        <v>50</v>
      </c>
      <c r="B4">
        <f>SUM(Sales_Data!J:J)</f>
        <v>237550</v>
      </c>
      <c r="D4" t="s">
        <v>58</v>
      </c>
      <c r="E4">
        <f>SUMPRODUCT((MONTH(Sales_Data!$B$2:$B$21)=MONTH(DATEVALUE(D4&amp;" 1")))*Sales_Data!$H$2:$H$21)</f>
        <v>382500</v>
      </c>
      <c r="J4" t="s">
        <v>62</v>
      </c>
      <c r="K4">
        <f>SUMIF(Sales_Data!$E:$E,J4,Sales_Data!$H:$H)</f>
        <v>313000</v>
      </c>
      <c r="M4" t="s">
        <v>45</v>
      </c>
      <c r="N4">
        <f>SUMIF(Sales_Data!$F:$F,M4,Sales_Data!$H:$H)</f>
        <v>222000</v>
      </c>
    </row>
    <row r="5" spans="1:15" x14ac:dyDescent="0.3">
      <c r="A5" t="s">
        <v>51</v>
      </c>
      <c r="B5">
        <f>SUM(Sales_Data!G:G)</f>
        <v>147</v>
      </c>
      <c r="M5" t="s">
        <v>44</v>
      </c>
      <c r="N5">
        <f>SUMIF(Sales_Data!$F:$F,M5,Sales_Data!$H:$H)</f>
        <v>318000</v>
      </c>
    </row>
    <row r="6" spans="1:15" x14ac:dyDescent="0.3">
      <c r="A6" t="s">
        <v>52</v>
      </c>
      <c r="B6">
        <f>COUNTA(Sales_Data!A:A)-1</f>
        <v>21</v>
      </c>
    </row>
    <row r="7" spans="1:15" x14ac:dyDescent="0.3">
      <c r="A7" t="s">
        <v>53</v>
      </c>
      <c r="B7">
        <f>B4/B2</f>
        <v>0.205938448201127</v>
      </c>
    </row>
  </sheetData>
  <conditionalFormatting sqref="A1:B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{C0720060-C522-46AD-BEC3-16EBC18C7379}</x14:id>
        </ext>
      </extLst>
    </cfRule>
  </conditionalFormatting>
  <conditionalFormatting sqref="D1:E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{E4CEBE6C-7A0B-4363-945D-05B70733E0D8}</x14:id>
        </ext>
      </extLst>
    </cfRule>
  </conditionalFormatting>
  <conditionalFormatting sqref="O3:O6 G2:N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{CEFD1C54-D33D-4EEC-B5E7-CB91B554B5DE}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720060-C522-46AD-BEC3-16EBC18C73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A1:B7</xm:sqref>
        </x14:conditionalFormatting>
        <x14:conditionalFormatting xmlns:xm="http://schemas.microsoft.com/office/excel/2006/main">
          <x14:cfRule type="dataBar" id="{E4CEBE6C-7A0B-4363-945D-05B70733E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D1:E5</xm:sqref>
        </x14:conditionalFormatting>
        <x14:conditionalFormatting xmlns:xm="http://schemas.microsoft.com/office/excel/2006/main">
          <x14:cfRule type="dataBar" id="{CEFD1C54-D33D-4EEC-B5E7-CB91B554B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O3:O6 G2:N5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3856-5390-4F23-9F0E-8A63F7DF2750}">
  <dimension ref="A1:J4"/>
  <sheetViews>
    <sheetView tabSelected="1" workbookViewId="0">
      <selection activeCell="J22" sqref="J22"/>
    </sheetView>
  </sheetViews>
  <sheetFormatPr defaultRowHeight="14.4" x14ac:dyDescent="0.3"/>
  <cols>
    <col min="1" max="1" width="12.33203125" bestFit="1" customWidth="1"/>
    <col min="3" max="3" width="11.44140625" bestFit="1" customWidth="1"/>
    <col min="5" max="5" width="12.77734375" bestFit="1" customWidth="1"/>
    <col min="7" max="7" width="16.33203125" bestFit="1" customWidth="1"/>
    <col min="9" max="9" width="14.21875" bestFit="1" customWidth="1"/>
  </cols>
  <sheetData>
    <row r="1" spans="1:10" ht="25.8" x14ac:dyDescent="0.5">
      <c r="A1" s="11" t="s">
        <v>65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18" x14ac:dyDescent="0.35">
      <c r="A3" s="5" t="s">
        <v>48</v>
      </c>
      <c r="B3" s="6"/>
      <c r="C3" s="6" t="s">
        <v>49</v>
      </c>
      <c r="D3" s="6"/>
      <c r="E3" s="6" t="s">
        <v>50</v>
      </c>
      <c r="F3" s="6"/>
      <c r="G3" s="6" t="s">
        <v>51</v>
      </c>
      <c r="H3" s="6"/>
      <c r="I3" s="7" t="s">
        <v>64</v>
      </c>
      <c r="J3" s="4"/>
    </row>
    <row r="4" spans="1:10" ht="18" x14ac:dyDescent="0.35">
      <c r="A4" s="8">
        <f>Calculations!B2</f>
        <v>1153500</v>
      </c>
      <c r="B4" s="9"/>
      <c r="C4" s="9">
        <f>Calculations!B3</f>
        <v>915950</v>
      </c>
      <c r="D4" s="9"/>
      <c r="E4" s="9">
        <f>Calculations!B4</f>
        <v>237550</v>
      </c>
      <c r="F4" s="9"/>
      <c r="G4" s="9">
        <f>Calculations!B5</f>
        <v>147</v>
      </c>
      <c r="H4" s="9"/>
      <c r="I4" s="10">
        <f>Calculations!B6</f>
        <v>21</v>
      </c>
    </row>
  </sheetData>
  <mergeCells count="1">
    <mergeCell ref="A1:J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33A695-3046-4983-BBBA-AFC975AE3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Calculations</vt:lpstr>
      <vt:lpstr>Sales_Dashboard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Sharnagat</dc:creator>
  <cp:lastModifiedBy>Rishabh Sharnagat</cp:lastModifiedBy>
  <dcterms:created xsi:type="dcterms:W3CDTF">2026-09-30T19:28:44Z</dcterms:created>
  <dcterms:modified xsi:type="dcterms:W3CDTF">2026-10-03T19:12:57Z</dcterms:modified>
</cp:coreProperties>
</file>